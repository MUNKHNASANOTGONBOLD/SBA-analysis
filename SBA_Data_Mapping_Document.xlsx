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Tech2high bootcamp-data analyst\Project\"/>
    </mc:Choice>
  </mc:AlternateContent>
  <xr:revisionPtr revIDLastSave="0" documentId="13_ncr:1_{1F142EAD-32A9-47DB-B74E-8C593C0E26E8}" xr6:coauthVersionLast="47" xr6:coauthVersionMax="47" xr10:uidLastSave="{00000000-0000-0000-0000-000000000000}"/>
  <bookViews>
    <workbookView xWindow="-2897" yWindow="9154" windowWidth="22148" windowHeight="11829" activeTab="1" xr2:uid="{8DC51878-B7FE-470D-8F41-670E2F3E85C0}"/>
  </bookViews>
  <sheets>
    <sheet name="Table List" sheetId="1" r:id="rId1"/>
    <sheet name="KDE sheet." sheetId="7" r:id="rId2"/>
    <sheet name="Data Transformation for ETL" sheetId="4" r:id="rId3"/>
    <sheet name="Data Quality rule for ETL" sheetId="2" r:id="rId4"/>
  </sheets>
  <definedNames>
    <definedName name="_xlnm._FilterDatabase" localSheetId="1" hidden="1">'KDE sheet.'!$A$1:$U$43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7" l="1"/>
  <c r="I4" i="7" s="1"/>
  <c r="I5" i="7" s="1"/>
  <c r="I6" i="7" s="1"/>
  <c r="I7" i="7" s="1"/>
  <c r="I8" i="7" s="1"/>
  <c r="I9" i="7" s="1"/>
  <c r="I10" i="7" s="1"/>
  <c r="I11" i="7" s="1"/>
  <c r="I12" i="7" s="1"/>
  <c r="I13" i="7" s="1"/>
  <c r="I14" i="7" s="1"/>
  <c r="I15" i="7" s="1"/>
  <c r="I16" i="7" s="1"/>
  <c r="I17" i="7" s="1"/>
  <c r="I18" i="7" s="1"/>
  <c r="I19" i="7" s="1"/>
  <c r="I20" i="7" s="1"/>
  <c r="I21" i="7" s="1"/>
  <c r="I22" i="7" s="1"/>
  <c r="I23" i="7" s="1"/>
  <c r="I24" i="7" s="1"/>
  <c r="I25" i="7" s="1"/>
  <c r="I26" i="7" s="1"/>
  <c r="I27" i="7" s="1"/>
  <c r="I28" i="7" s="1"/>
  <c r="I29" i="7" s="1"/>
  <c r="I30" i="7" s="1"/>
  <c r="I31" i="7" s="1"/>
  <c r="I32" i="7" s="1"/>
  <c r="I33" i="7" s="1"/>
  <c r="I34" i="7" s="1"/>
  <c r="I35" i="7" s="1"/>
  <c r="I36" i="7" s="1"/>
  <c r="I37" i="7" s="1"/>
  <c r="I38" i="7" s="1"/>
  <c r="I39" i="7" s="1"/>
  <c r="I40" i="7" s="1"/>
  <c r="I41" i="7" s="1"/>
  <c r="I42" i="7" s="1"/>
  <c r="I43" i="7" s="1"/>
</calcChain>
</file>

<file path=xl/sharedStrings.xml><?xml version="1.0" encoding="utf-8"?>
<sst xmlns="http://schemas.openxmlformats.org/spreadsheetml/2006/main" count="630" uniqueCount="207">
  <si>
    <t>Description</t>
  </si>
  <si>
    <t>ruleid</t>
  </si>
  <si>
    <t>rule</t>
  </si>
  <si>
    <t>description</t>
  </si>
  <si>
    <t>criticality</t>
  </si>
  <si>
    <t>grouping</t>
  </si>
  <si>
    <t>г_ 1001</t>
  </si>
  <si>
    <t>IsComplete "col_name"</t>
  </si>
  <si>
    <t>Value is required</t>
  </si>
  <si>
    <t>high</t>
  </si>
  <si>
    <t>Completeness</t>
  </si>
  <si>
    <t>г_1002</t>
  </si>
  <si>
    <t>ColumnValues "col_name" matches "*[a-zA-Z)</t>
  </si>
  <si>
    <t>Special characters such as: 1@#$%^&amp;*(_+=|K".,2/&gt;&lt;~*/ and numerics are nchigh</t>
  </si>
  <si>
    <t>Validity</t>
  </si>
  <si>
    <t>г_1003</t>
  </si>
  <si>
    <t>(Column Values "col_name" matches SSN needS to be in proper format</t>
  </si>
  <si>
    <t>г_1004</t>
  </si>
  <si>
    <t>ColumnLength "col_name" &gt;= 1</t>
  </si>
  <si>
    <t>Colunm length should be greater than or equal to 1</t>
  </si>
  <si>
    <t>г_ 1005</t>
  </si>
  <si>
    <t>ColumnLength "col_name" &lt;= 1</t>
  </si>
  <si>
    <t>Colunm length should be less than or equal to 1</t>
  </si>
  <si>
    <t>Column Values "col_name" &lt;= now</t>
  </si>
  <si>
    <t>Must not be a future date</t>
  </si>
  <si>
    <t>г_1007</t>
  </si>
  <si>
    <t>ColumnLength "col_name" &lt;= 2</t>
  </si>
  <si>
    <t>Colunm length should be less than equal to two characters</t>
  </si>
  <si>
    <t>medium</t>
  </si>
  <si>
    <t>ColumnLength "col_name" &lt;= 6</t>
  </si>
  <si>
    <t>Colunm length should be less than equal to six characters</t>
  </si>
  <si>
    <t>medium.</t>
  </si>
  <si>
    <t>г 1009</t>
  </si>
  <si>
    <t>ColumnLength "col_name" = 5</t>
  </si>
  <si>
    <t>Colunm length is equal to 5 characters</t>
  </si>
  <si>
    <t>г 1010</t>
  </si>
  <si>
    <t>ColumnLength "col_name" = 3</t>
  </si>
  <si>
    <t>Colunm length is not equal to 3 characters</t>
  </si>
  <si>
    <t>r_1011</t>
  </si>
  <si>
    <t>ColumnValues "col name" matches "A[+-]?(?:\ Must contain numeric values</t>
  </si>
  <si>
    <t>Conformity</t>
  </si>
  <si>
    <t>г_1012</t>
  </si>
  <si>
    <t>Column Values "col_name" matches "^[^0-9] +$ Must contain non numeric values</t>
  </si>
  <si>
    <t>г_ 1013</t>
  </si>
  <si>
    <t>ColumnLength "col name" = 9</t>
  </si>
  <si>
    <t>Colunm length is equal to 9 characters</t>
  </si>
  <si>
    <t>г_1015</t>
  </si>
  <si>
    <t>ColumnLength "col_name" &lt;= 50</t>
  </si>
  <si>
    <t>Colunm length should be less than equal to 50 characters</t>
  </si>
  <si>
    <t>r 1016</t>
  </si>
  <si>
    <t>Column Values "col_name" matches "*(?!unkng All the transformations that contain Unknown values are error out</t>
  </si>
  <si>
    <t>r_1018</t>
  </si>
  <si>
    <t>ColumnValues "col_name" in ["ADDRESS", "Cattr_nam should need to be either one(ADDRESS, CONTACT,DOB,SSN)</t>
  </si>
  <si>
    <t>low</t>
  </si>
  <si>
    <t>ColumnLength "col_name" &lt;= 10</t>
  </si>
  <si>
    <t>Colunm length should be less than equal to ten characters</t>
  </si>
  <si>
    <t>Column Values "col_name" &gt;= "1900-01-01"</t>
  </si>
  <si>
    <t>Date of birth should not be before 1900</t>
  </si>
  <si>
    <t>г 1006</t>
  </si>
  <si>
    <t>г_1008</t>
  </si>
  <si>
    <t>r_1020</t>
  </si>
  <si>
    <t>r_1021</t>
  </si>
  <si>
    <t>Table Schema</t>
  </si>
  <si>
    <t>Technical Name</t>
  </si>
  <si>
    <t>Business Name</t>
  </si>
  <si>
    <t>Table Description</t>
  </si>
  <si>
    <t>Table Name</t>
  </si>
  <si>
    <t>table_schema</t>
  </si>
  <si>
    <t>table_name</t>
  </si>
  <si>
    <t>column_name</t>
  </si>
  <si>
    <t>interested</t>
  </si>
  <si>
    <t>Business_name</t>
  </si>
  <si>
    <t>isprimarykey</t>
  </si>
  <si>
    <t>ordinal_position</t>
  </si>
  <si>
    <t>foreignkey</t>
  </si>
  <si>
    <t>is_nullable</t>
  </si>
  <si>
    <t>data_type</t>
  </si>
  <si>
    <t>character_maximum_length</t>
  </si>
  <si>
    <t>numeric_precision</t>
  </si>
  <si>
    <t>numeric_scale</t>
  </si>
  <si>
    <t>Data Quality Rules (To be filled by Business Team)</t>
  </si>
  <si>
    <t>Data Security( To be filled by Business/App Team)</t>
  </si>
  <si>
    <t>Y</t>
  </si>
  <si>
    <t>N</t>
  </si>
  <si>
    <t>Schema</t>
  </si>
  <si>
    <t>Table</t>
  </si>
  <si>
    <t>Lookup_Table</t>
  </si>
  <si>
    <t>Code</t>
  </si>
  <si>
    <t>L0_Description</t>
  </si>
  <si>
    <t>PII</t>
  </si>
  <si>
    <t>Source_Column id</t>
  </si>
  <si>
    <t>Target Column Id</t>
  </si>
  <si>
    <t>Column description</t>
  </si>
  <si>
    <t>SBA_team2</t>
  </si>
  <si>
    <t>Prod1.SBA_team2</t>
  </si>
  <si>
    <t>SBA_loan_data</t>
  </si>
  <si>
    <t>This table contains detailed records of Small Business Administration (SBA) loan data, including borrower, bank, and loan-level information. It serves as a comprehensive dataset for financial analysis, reporting, and performance monitoring of SBA-backed loans.
The table includes borrower details such as business name, address, city, state, and ZIP code, along with classification attributes like business type, industry code (NAICS), and project location. It also captures lending institution information, including bank name, FDIC/NCUA identifiers, and bank location details.
Loan-specific attributes include gross loan approval amount, SBA guaranteed portion, interest rate, loan term, delivery method, and program type. Key lifecycle dates such as approval date, first disbursement date, payment completion date, and charge-off date are also recorded, enabling time-based analysis.
Additionally, the table tracks loan performance and status indicators such as loan status, charge-off amount, revolving status, jobs supported, and whether the loan was sold in the secondary market. These attributes support use cases such as credit risk analysis, portfolio monitoring, economic impact assessment, and policy evaluation.
Overall, this dataset provides a structured foundation for analyzing SBA loan distribution, performance, and business outcomes across regions and industries.</t>
  </si>
  <si>
    <t>Date</t>
  </si>
  <si>
    <t>As_of_date</t>
  </si>
  <si>
    <t>Varchar(2)</t>
  </si>
  <si>
    <t>Program</t>
  </si>
  <si>
    <t>Varchar(200)</t>
  </si>
  <si>
    <t>Borrname_clean</t>
  </si>
  <si>
    <t>Varchar(60)</t>
  </si>
  <si>
    <t>Borrstreet_clean</t>
  </si>
  <si>
    <t>Borrcity_clean</t>
  </si>
  <si>
    <t>Borrstate</t>
  </si>
  <si>
    <t>Int(5)</t>
  </si>
  <si>
    <t>Borrzip</t>
  </si>
  <si>
    <t>Varchar(120)</t>
  </si>
  <si>
    <t>Bank_Name</t>
  </si>
  <si>
    <t>Int(10)</t>
  </si>
  <si>
    <t>Bankfdicnumber</t>
  </si>
  <si>
    <t>Bankncuanumber</t>
  </si>
  <si>
    <t>Bankstreet</t>
  </si>
  <si>
    <t>Bankcity</t>
  </si>
  <si>
    <t>Bankstate</t>
  </si>
  <si>
    <t>Bankzip</t>
  </si>
  <si>
    <t>decimal(14,2)</t>
  </si>
  <si>
    <t>Grossapproval</t>
  </si>
  <si>
    <t>decimal(20,2)</t>
  </si>
  <si>
    <t>Sbaguaranteedapproval</t>
  </si>
  <si>
    <t>Approvaldate</t>
  </si>
  <si>
    <t>Int(4)</t>
  </si>
  <si>
    <t>Approvalfiscalyear</t>
  </si>
  <si>
    <t>Firstdisbursementdate</t>
  </si>
  <si>
    <t>Varchar(20)</t>
  </si>
  <si>
    <t>Deliverymethod</t>
  </si>
  <si>
    <t>Varchar(98)</t>
  </si>
  <si>
    <t>Subprogram_clean</t>
  </si>
  <si>
    <t>Decimal(32.3)</t>
  </si>
  <si>
    <t>Initialinterestrate_clean</t>
  </si>
  <si>
    <t>Varchar(14)</t>
  </si>
  <si>
    <t>Fixedorvariableinterestind</t>
  </si>
  <si>
    <t>Int(3)</t>
  </si>
  <si>
    <t>Terminmonths</t>
  </si>
  <si>
    <t>Int(12)</t>
  </si>
  <si>
    <t>Naicscode</t>
  </si>
  <si>
    <t>Varchar(140)</t>
  </si>
  <si>
    <t>Naicsdescription_clean</t>
  </si>
  <si>
    <t>Franchisecode_clean</t>
  </si>
  <si>
    <t>Franchisename_clean</t>
  </si>
  <si>
    <t>Varchar(42)</t>
  </si>
  <si>
    <t>Projectcounty_clean</t>
  </si>
  <si>
    <t>Projectstate</t>
  </si>
  <si>
    <t>Varchar(80)</t>
  </si>
  <si>
    <t>Sbadistrictoffice</t>
  </si>
  <si>
    <t>Int(2)</t>
  </si>
  <si>
    <t>Congressionaldistrict_cleaned</t>
  </si>
  <si>
    <t>Varchar(22)</t>
  </si>
  <si>
    <t>Businesstype</t>
  </si>
  <si>
    <t>Varchar(12)</t>
  </si>
  <si>
    <t>Loanstatus</t>
  </si>
  <si>
    <t>Paidinfulldate_clean</t>
  </si>
  <si>
    <t>Chargeoffdate_clean</t>
  </si>
  <si>
    <t>Grosschargeoffamount</t>
  </si>
  <si>
    <t>Revolverstatus</t>
  </si>
  <si>
    <t>Int(6)</t>
  </si>
  <si>
    <t>Jobssupported</t>
  </si>
  <si>
    <t>Soldsecmrktind</t>
  </si>
  <si>
    <t>Catalog_month</t>
  </si>
  <si>
    <t>Catalog_year</t>
  </si>
  <si>
    <t>14,2</t>
  </si>
  <si>
    <t>20,2</t>
  </si>
  <si>
    <t>SBA(team2)</t>
  </si>
  <si>
    <t>Subprogram</t>
  </si>
  <si>
    <t>As_of_Date</t>
  </si>
  <si>
    <t>Business_Name</t>
  </si>
  <si>
    <t>Business_Street_Address</t>
  </si>
  <si>
    <t>Business_City</t>
  </si>
  <si>
    <t>Business_State</t>
  </si>
  <si>
    <t>Business_ZIP_Code</t>
  </si>
  <si>
    <t>Bank_FDIC_Number</t>
  </si>
  <si>
    <t>Bank_NCUA_Number</t>
  </si>
  <si>
    <t>Bank_Street_Address</t>
  </si>
  <si>
    <t>Bank_City</t>
  </si>
  <si>
    <t>Bank_State</t>
  </si>
  <si>
    <t>Bank_ZIP_Code</t>
  </si>
  <si>
    <t>Gross_Approval_Amount</t>
  </si>
  <si>
    <t>SBA_Guaranteed_Approval_Amount</t>
  </si>
  <si>
    <t>Approval_Date</t>
  </si>
  <si>
    <t>Approval_Fiscal_Year</t>
  </si>
  <si>
    <t>First_Disbursement_Date</t>
  </si>
  <si>
    <t>Delivery_Method</t>
  </si>
  <si>
    <t>Initial_Interest_Rate</t>
  </si>
  <si>
    <t>Fixed_or_Variable_Interest_Indicator</t>
  </si>
  <si>
    <t>Term_in_Months</t>
  </si>
  <si>
    <t>NAICS_Code</t>
  </si>
  <si>
    <t>NAICS_Description</t>
  </si>
  <si>
    <t>Franchise_Code</t>
  </si>
  <si>
    <t>Franchise_Name</t>
  </si>
  <si>
    <t>Project_County</t>
  </si>
  <si>
    <t>Project_State</t>
  </si>
  <si>
    <t>SBA_District_Office</t>
  </si>
  <si>
    <t>Congressional_District</t>
  </si>
  <si>
    <t>Business_Type</t>
  </si>
  <si>
    <t>Loan_Status</t>
  </si>
  <si>
    <t>Paid_in_Full_Date</t>
  </si>
  <si>
    <t>Charge-off_Date</t>
  </si>
  <si>
    <t>Gross_Charge-off_Amount</t>
  </si>
  <si>
    <t>Revolver_Status</t>
  </si>
  <si>
    <t>Jobs_Supported</t>
  </si>
  <si>
    <t>Sold_Secondary_Market_Indicator</t>
  </si>
  <si>
    <t>Catalog_Month</t>
  </si>
  <si>
    <t>Catalog_Year</t>
  </si>
  <si>
    <t>Null</t>
  </si>
  <si>
    <t>Prod2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</si>
</sst>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Arial"/>
      <family val="2"/>
    </font>
    <font>
      <b/>
      <sz val="10"/>
      <color theme="1"/>
      <name val="Arial"/>
      <family val="2"/>
    </font>
    <font>
      <b/>
      <sz val="11"/>
      <color theme="1"/>
      <name val="Calibri"/>
      <family val="2"/>
    </font>
    <font>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2" fillId="0" borderId="1" xfId="0" applyFont="1" applyBorder="1" applyAlignment="1">
      <alignment vertical="center"/>
    </xf>
    <xf numFmtId="0" fontId="1" fillId="3" borderId="1" xfId="0" applyFont="1" applyFill="1" applyBorder="1" applyAlignment="1">
      <alignment horizontal="left"/>
    </xf>
    <xf numFmtId="0" fontId="4" fillId="4" borderId="1" xfId="0" applyFont="1" applyFill="1" applyBorder="1" applyAlignment="1">
      <alignment horizontal="left"/>
    </xf>
    <xf numFmtId="0" fontId="5" fillId="4" borderId="0" xfId="0" applyFont="1" applyFill="1"/>
    <xf numFmtId="0" fontId="4" fillId="2" borderId="1" xfId="0" applyFont="1" applyFill="1" applyBorder="1" applyAlignment="1">
      <alignment horizontal="left" vertical="top"/>
    </xf>
    <xf numFmtId="0" fontId="5" fillId="0" borderId="1" xfId="0" applyFont="1" applyBorder="1" applyAlignment="1">
      <alignment vertical="center"/>
    </xf>
    <xf numFmtId="0" fontId="5" fillId="0" borderId="0" xfId="0" applyFont="1" applyAlignment="1">
      <alignment wrapText="1"/>
    </xf>
    <xf numFmtId="0" fontId="4" fillId="4" borderId="0" xfId="0" applyFont="1" applyFill="1"/>
    <xf numFmtId="0" fontId="5" fillId="4" borderId="1" xfId="0" applyFont="1" applyFill="1" applyBorder="1"/>
    <xf numFmtId="0" fontId="3" fillId="2" borderId="1" xfId="0" applyFont="1" applyFill="1" applyBorder="1"/>
    <xf numFmtId="0" fontId="2" fillId="0" borderId="1" xfId="0" applyFont="1" applyBorder="1"/>
    <xf numFmtId="0" fontId="4" fillId="4" borderId="1" xfId="0" applyFont="1" applyFill="1" applyBorder="1" applyAlignment="1">
      <alignment horizontal="left"/>
    </xf>
    <xf numFmtId="0" fontId="4" fillId="4"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794-0850-4392-BDF3-0C8990BF8136}">
  <dimension ref="A1:E12"/>
  <sheetViews>
    <sheetView zoomScale="66" workbookViewId="0">
      <selection activeCell="A3" sqref="A3"/>
    </sheetView>
  </sheetViews>
  <sheetFormatPr defaultRowHeight="15" x14ac:dyDescent="0.25"/>
  <cols>
    <col min="1" max="4" width="23.5703125" customWidth="1"/>
    <col min="5" max="5" width="50.85546875" customWidth="1"/>
  </cols>
  <sheetData>
    <row r="1" spans="1:5" x14ac:dyDescent="0.25">
      <c r="A1" s="6" t="s">
        <v>62</v>
      </c>
      <c r="B1" s="6" t="s">
        <v>66</v>
      </c>
      <c r="C1" s="6" t="s">
        <v>63</v>
      </c>
      <c r="D1" s="6" t="s">
        <v>64</v>
      </c>
      <c r="E1" s="6" t="s">
        <v>65</v>
      </c>
    </row>
    <row r="2" spans="1:5" ht="409.5" x14ac:dyDescent="0.25">
      <c r="A2" s="7" t="s">
        <v>206</v>
      </c>
      <c r="B2" s="7" t="s">
        <v>93</v>
      </c>
      <c r="C2" s="7" t="s">
        <v>94</v>
      </c>
      <c r="D2" s="7" t="s">
        <v>95</v>
      </c>
      <c r="E2" s="8" t="s">
        <v>96</v>
      </c>
    </row>
    <row r="3" spans="1:5" x14ac:dyDescent="0.25">
      <c r="A3" s="1"/>
      <c r="B3" s="1"/>
      <c r="C3" s="1"/>
      <c r="D3" s="1"/>
      <c r="E3" s="1"/>
    </row>
    <row r="4" spans="1:5" x14ac:dyDescent="0.25">
      <c r="A4" s="1"/>
      <c r="B4" s="1"/>
      <c r="C4" s="1"/>
      <c r="D4" s="1"/>
      <c r="E4" s="1"/>
    </row>
    <row r="5" spans="1:5" x14ac:dyDescent="0.25">
      <c r="A5" s="1"/>
      <c r="B5" s="1"/>
      <c r="C5" s="1"/>
      <c r="D5" s="1"/>
      <c r="E5" s="1"/>
    </row>
    <row r="6" spans="1:5" x14ac:dyDescent="0.25">
      <c r="A6" s="1"/>
      <c r="B6" s="1"/>
      <c r="C6" s="1"/>
      <c r="D6" s="1"/>
      <c r="E6" s="1"/>
    </row>
    <row r="7" spans="1:5" x14ac:dyDescent="0.25">
      <c r="A7" s="1"/>
      <c r="B7" s="1"/>
      <c r="C7" s="1"/>
      <c r="D7" s="1"/>
      <c r="E7" s="1"/>
    </row>
    <row r="8" spans="1:5" x14ac:dyDescent="0.25">
      <c r="A8" s="1"/>
      <c r="B8" s="1"/>
      <c r="C8" s="1"/>
      <c r="D8" s="1"/>
      <c r="E8" s="1"/>
    </row>
    <row r="9" spans="1:5" x14ac:dyDescent="0.25">
      <c r="A9" s="1"/>
      <c r="B9" s="1"/>
      <c r="C9" s="1"/>
      <c r="D9" s="1"/>
      <c r="E9" s="1"/>
    </row>
    <row r="10" spans="1:5" x14ac:dyDescent="0.25">
      <c r="A10" s="1"/>
      <c r="B10" s="1"/>
      <c r="C10" s="1"/>
      <c r="D10" s="1"/>
      <c r="E10" s="1"/>
    </row>
    <row r="11" spans="1:5" x14ac:dyDescent="0.25">
      <c r="A11" s="1"/>
      <c r="B11" s="1"/>
      <c r="C11" s="1"/>
      <c r="D11" s="1"/>
      <c r="E11" s="1"/>
    </row>
    <row r="12" spans="1:5" x14ac:dyDescent="0.25">
      <c r="A12" s="1"/>
      <c r="B12" s="1"/>
      <c r="C12" s="1"/>
      <c r="D12" s="1"/>
      <c r="E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F2341-D34A-429B-BD13-80B27B5B42F7}">
  <dimension ref="A1:U43"/>
  <sheetViews>
    <sheetView tabSelected="1" zoomScale="65" workbookViewId="0">
      <pane ySplit="1" topLeftCell="A8" activePane="bottomLeft" state="frozen"/>
      <selection pane="bottomLeft" activeCell="S10" sqref="S10:S12"/>
    </sheetView>
  </sheetViews>
  <sheetFormatPr defaultColWidth="9" defaultRowHeight="15" x14ac:dyDescent="0.25"/>
  <cols>
    <col min="1" max="1" width="17" style="5" bestFit="1" customWidth="1"/>
    <col min="2" max="2" width="15.28515625" style="5" bestFit="1" customWidth="1"/>
    <col min="3" max="3" width="28.140625" style="5" bestFit="1" customWidth="1"/>
    <col min="4" max="4" width="7.140625" style="5" bestFit="1" customWidth="1"/>
    <col min="5" max="5" width="14" style="5" bestFit="1" customWidth="1"/>
    <col min="6" max="6" width="33.5703125" style="5" bestFit="1" customWidth="1"/>
    <col min="7" max="7" width="14.85546875" style="5" hidden="1" customWidth="1"/>
    <col min="8" max="8" width="16" style="5" hidden="1" customWidth="1"/>
    <col min="9" max="9" width="19.140625" style="5" hidden="1" customWidth="1"/>
    <col min="10" max="11" width="14.140625" style="5" hidden="1" customWidth="1"/>
    <col min="12" max="12" width="13.5703125" style="5" bestFit="1" customWidth="1"/>
    <col min="13" max="13" width="30" style="5" bestFit="1" customWidth="1"/>
    <col min="14" max="14" width="21.140625" style="5" bestFit="1" customWidth="1"/>
    <col min="15" max="15" width="17.42578125" style="5" bestFit="1" customWidth="1"/>
    <col min="16" max="16" width="22.140625" style="5" customWidth="1"/>
    <col min="17" max="17" width="9.42578125" style="5" bestFit="1" customWidth="1"/>
    <col min="18" max="18" width="6.42578125" style="5" bestFit="1" customWidth="1"/>
    <col min="19" max="19" width="15.5703125" style="5" bestFit="1" customWidth="1"/>
    <col min="20" max="20" width="19" style="5" bestFit="1" customWidth="1"/>
    <col min="21" max="21" width="41.140625" style="5" bestFit="1" customWidth="1"/>
    <col min="22" max="16384" width="9" style="5"/>
  </cols>
  <sheetData>
    <row r="1" spans="1:21" s="9" customFormat="1" x14ac:dyDescent="0.25">
      <c r="A1" s="4" t="s">
        <v>67</v>
      </c>
      <c r="B1" s="4" t="s">
        <v>68</v>
      </c>
      <c r="C1" s="4" t="s">
        <v>69</v>
      </c>
      <c r="D1" s="4" t="s">
        <v>89</v>
      </c>
      <c r="E1" s="4" t="s">
        <v>70</v>
      </c>
      <c r="F1" s="4" t="s">
        <v>71</v>
      </c>
      <c r="G1" s="4" t="s">
        <v>0</v>
      </c>
      <c r="H1" s="4" t="s">
        <v>72</v>
      </c>
      <c r="I1" s="4" t="s">
        <v>73</v>
      </c>
      <c r="J1" s="4" t="s">
        <v>74</v>
      </c>
      <c r="K1" s="4" t="s">
        <v>75</v>
      </c>
      <c r="L1" s="4" t="s">
        <v>76</v>
      </c>
      <c r="M1" s="4" t="s">
        <v>77</v>
      </c>
      <c r="N1" s="4" t="s">
        <v>78</v>
      </c>
      <c r="O1" s="4" t="s">
        <v>79</v>
      </c>
      <c r="P1" s="13" t="s">
        <v>80</v>
      </c>
      <c r="Q1" s="13"/>
      <c r="R1" s="13"/>
      <c r="S1" s="14" t="s">
        <v>81</v>
      </c>
      <c r="T1" s="14"/>
      <c r="U1" s="14"/>
    </row>
    <row r="2" spans="1:21" x14ac:dyDescent="0.25">
      <c r="A2" s="10" t="s">
        <v>206</v>
      </c>
      <c r="B2" s="10" t="s">
        <v>164</v>
      </c>
      <c r="C2" s="10" t="s">
        <v>98</v>
      </c>
      <c r="D2" s="10" t="s">
        <v>83</v>
      </c>
      <c r="E2" s="10" t="s">
        <v>82</v>
      </c>
      <c r="F2" s="7" t="s">
        <v>166</v>
      </c>
      <c r="G2" s="10"/>
      <c r="H2" s="10" t="s">
        <v>83</v>
      </c>
      <c r="I2" s="10">
        <v>1</v>
      </c>
      <c r="J2" s="10" t="s">
        <v>83</v>
      </c>
      <c r="K2" s="10" t="s">
        <v>83</v>
      </c>
      <c r="L2" s="10" t="s">
        <v>97</v>
      </c>
      <c r="M2" s="10" t="s">
        <v>205</v>
      </c>
      <c r="N2" s="10" t="s">
        <v>205</v>
      </c>
      <c r="O2" s="10" t="s">
        <v>205</v>
      </c>
      <c r="P2" s="10"/>
      <c r="Q2" s="10"/>
      <c r="R2" s="10"/>
    </row>
    <row r="3" spans="1:21" x14ac:dyDescent="0.25">
      <c r="A3" s="10" t="s">
        <v>206</v>
      </c>
      <c r="B3" s="10" t="s">
        <v>164</v>
      </c>
      <c r="C3" s="10" t="s">
        <v>100</v>
      </c>
      <c r="D3" s="10" t="s">
        <v>83</v>
      </c>
      <c r="E3" s="10" t="s">
        <v>82</v>
      </c>
      <c r="F3" s="7" t="s">
        <v>100</v>
      </c>
      <c r="G3" s="10"/>
      <c r="H3" s="10" t="s">
        <v>83</v>
      </c>
      <c r="I3" s="10">
        <f>I2+1</f>
        <v>2</v>
      </c>
      <c r="J3" s="10" t="s">
        <v>83</v>
      </c>
      <c r="K3" s="10" t="s">
        <v>83</v>
      </c>
      <c r="L3" s="10" t="s">
        <v>99</v>
      </c>
      <c r="M3" s="10">
        <v>2</v>
      </c>
      <c r="N3" s="10" t="s">
        <v>205</v>
      </c>
      <c r="O3" s="10" t="s">
        <v>205</v>
      </c>
      <c r="P3" s="10"/>
      <c r="Q3" s="10"/>
      <c r="R3" s="10"/>
    </row>
    <row r="4" spans="1:21" x14ac:dyDescent="0.25">
      <c r="A4" s="10" t="s">
        <v>206</v>
      </c>
      <c r="B4" s="10" t="s">
        <v>164</v>
      </c>
      <c r="C4" s="10" t="s">
        <v>102</v>
      </c>
      <c r="D4" s="10" t="s">
        <v>83</v>
      </c>
      <c r="E4" s="10" t="s">
        <v>82</v>
      </c>
      <c r="F4" s="7" t="s">
        <v>167</v>
      </c>
      <c r="G4" s="10"/>
      <c r="H4" s="10" t="s">
        <v>83</v>
      </c>
      <c r="I4" s="10">
        <f t="shared" ref="I4:I43" si="0">I3+1</f>
        <v>3</v>
      </c>
      <c r="J4" s="10" t="s">
        <v>83</v>
      </c>
      <c r="K4" s="10" t="s">
        <v>83</v>
      </c>
      <c r="L4" s="10" t="s">
        <v>101</v>
      </c>
      <c r="M4" s="10">
        <v>200</v>
      </c>
      <c r="N4" s="10" t="s">
        <v>205</v>
      </c>
      <c r="O4" s="10" t="s">
        <v>205</v>
      </c>
      <c r="P4" s="10"/>
      <c r="Q4" s="10"/>
      <c r="R4" s="10"/>
    </row>
    <row r="5" spans="1:21" x14ac:dyDescent="0.25">
      <c r="A5" s="10" t="s">
        <v>206</v>
      </c>
      <c r="B5" s="10" t="s">
        <v>164</v>
      </c>
      <c r="C5" s="10" t="s">
        <v>104</v>
      </c>
      <c r="D5" s="10" t="s">
        <v>83</v>
      </c>
      <c r="E5" s="10" t="s">
        <v>82</v>
      </c>
      <c r="F5" s="7" t="s">
        <v>168</v>
      </c>
      <c r="G5" s="10"/>
      <c r="H5" s="10" t="s">
        <v>83</v>
      </c>
      <c r="I5" s="10" t="e">
        <f>#REF!+1</f>
        <v>#REF!</v>
      </c>
      <c r="J5" s="10" t="s">
        <v>83</v>
      </c>
      <c r="K5" s="10" t="s">
        <v>83</v>
      </c>
      <c r="L5" s="10" t="s">
        <v>103</v>
      </c>
      <c r="M5" s="10">
        <v>60</v>
      </c>
      <c r="N5" s="10" t="s">
        <v>205</v>
      </c>
      <c r="O5" s="10" t="s">
        <v>205</v>
      </c>
      <c r="P5" s="10"/>
      <c r="Q5" s="10"/>
      <c r="R5" s="10"/>
    </row>
    <row r="6" spans="1:21" x14ac:dyDescent="0.25">
      <c r="A6" s="10" t="s">
        <v>206</v>
      </c>
      <c r="B6" s="10" t="s">
        <v>164</v>
      </c>
      <c r="C6" s="10" t="s">
        <v>105</v>
      </c>
      <c r="D6" s="10" t="s">
        <v>83</v>
      </c>
      <c r="E6" s="10" t="s">
        <v>82</v>
      </c>
      <c r="F6" s="7" t="s">
        <v>169</v>
      </c>
      <c r="G6" s="10"/>
      <c r="H6" s="10" t="s">
        <v>83</v>
      </c>
      <c r="I6" s="10" t="e">
        <f t="shared" si="0"/>
        <v>#REF!</v>
      </c>
      <c r="J6" s="10" t="s">
        <v>83</v>
      </c>
      <c r="K6" s="10" t="s">
        <v>83</v>
      </c>
      <c r="L6" s="10" t="s">
        <v>103</v>
      </c>
      <c r="M6" s="10">
        <v>60</v>
      </c>
      <c r="N6" s="10" t="s">
        <v>205</v>
      </c>
      <c r="O6" s="10" t="s">
        <v>205</v>
      </c>
      <c r="P6" s="10"/>
      <c r="Q6" s="10"/>
      <c r="R6" s="10"/>
    </row>
    <row r="7" spans="1:21" x14ac:dyDescent="0.25">
      <c r="A7" s="10" t="s">
        <v>206</v>
      </c>
      <c r="B7" s="10" t="s">
        <v>164</v>
      </c>
      <c r="C7" s="10" t="s">
        <v>106</v>
      </c>
      <c r="D7" s="10" t="s">
        <v>83</v>
      </c>
      <c r="E7" s="10" t="s">
        <v>82</v>
      </c>
      <c r="F7" s="7" t="s">
        <v>170</v>
      </c>
      <c r="G7" s="10"/>
      <c r="H7" s="10" t="s">
        <v>83</v>
      </c>
      <c r="I7" s="10" t="e">
        <f t="shared" si="0"/>
        <v>#REF!</v>
      </c>
      <c r="J7" s="10" t="s">
        <v>83</v>
      </c>
      <c r="K7" s="10" t="s">
        <v>83</v>
      </c>
      <c r="L7" s="10" t="s">
        <v>99</v>
      </c>
      <c r="M7" s="10">
        <v>2</v>
      </c>
      <c r="N7" s="10" t="s">
        <v>205</v>
      </c>
      <c r="O7" s="10" t="s">
        <v>205</v>
      </c>
      <c r="P7" s="10"/>
      <c r="Q7" s="10"/>
      <c r="R7" s="10"/>
    </row>
    <row r="8" spans="1:21" x14ac:dyDescent="0.25">
      <c r="A8" s="10" t="s">
        <v>206</v>
      </c>
      <c r="B8" s="10" t="s">
        <v>164</v>
      </c>
      <c r="C8" s="10" t="s">
        <v>108</v>
      </c>
      <c r="D8" s="10" t="s">
        <v>83</v>
      </c>
      <c r="E8" s="10" t="s">
        <v>82</v>
      </c>
      <c r="F8" s="7" t="s">
        <v>171</v>
      </c>
      <c r="G8" s="10"/>
      <c r="H8" s="10" t="s">
        <v>83</v>
      </c>
      <c r="I8" s="10" t="e">
        <f t="shared" si="0"/>
        <v>#REF!</v>
      </c>
      <c r="J8" s="10" t="s">
        <v>83</v>
      </c>
      <c r="K8" s="10" t="s">
        <v>83</v>
      </c>
      <c r="L8" s="10" t="s">
        <v>107</v>
      </c>
      <c r="M8" s="10">
        <v>5</v>
      </c>
      <c r="N8" s="10" t="s">
        <v>205</v>
      </c>
      <c r="O8" s="10" t="s">
        <v>205</v>
      </c>
      <c r="P8" s="10"/>
      <c r="Q8" s="10"/>
      <c r="R8" s="10"/>
    </row>
    <row r="9" spans="1:21" x14ac:dyDescent="0.25">
      <c r="A9" s="10" t="s">
        <v>206</v>
      </c>
      <c r="B9" s="10" t="s">
        <v>164</v>
      </c>
      <c r="C9" s="10" t="s">
        <v>110</v>
      </c>
      <c r="D9" s="10" t="s">
        <v>83</v>
      </c>
      <c r="E9" s="10" t="s">
        <v>82</v>
      </c>
      <c r="F9" s="7" t="s">
        <v>110</v>
      </c>
      <c r="G9" s="10"/>
      <c r="H9" s="10" t="s">
        <v>83</v>
      </c>
      <c r="I9" s="10" t="e">
        <f t="shared" si="0"/>
        <v>#REF!</v>
      </c>
      <c r="J9" s="10" t="s">
        <v>83</v>
      </c>
      <c r="K9" s="10" t="s">
        <v>83</v>
      </c>
      <c r="L9" s="10" t="s">
        <v>109</v>
      </c>
      <c r="M9" s="10">
        <v>120</v>
      </c>
      <c r="N9" s="10" t="s">
        <v>205</v>
      </c>
      <c r="O9" s="10" t="s">
        <v>205</v>
      </c>
      <c r="P9" s="10"/>
      <c r="Q9" s="10"/>
      <c r="R9" s="10"/>
    </row>
    <row r="10" spans="1:21" x14ac:dyDescent="0.25">
      <c r="A10" s="10" t="s">
        <v>206</v>
      </c>
      <c r="B10" s="10" t="s">
        <v>164</v>
      </c>
      <c r="C10" s="10" t="s">
        <v>112</v>
      </c>
      <c r="D10" s="10" t="s">
        <v>83</v>
      </c>
      <c r="E10" s="10" t="s">
        <v>82</v>
      </c>
      <c r="F10" s="7" t="s">
        <v>172</v>
      </c>
      <c r="G10" s="10"/>
      <c r="H10" s="10" t="s">
        <v>83</v>
      </c>
      <c r="I10" s="10" t="e">
        <f t="shared" si="0"/>
        <v>#REF!</v>
      </c>
      <c r="J10" s="10" t="s">
        <v>83</v>
      </c>
      <c r="K10" s="10" t="s">
        <v>83</v>
      </c>
      <c r="L10" s="10" t="s">
        <v>111</v>
      </c>
      <c r="M10" s="10">
        <v>10</v>
      </c>
      <c r="N10" s="10" t="s">
        <v>205</v>
      </c>
      <c r="O10" s="10" t="s">
        <v>205</v>
      </c>
      <c r="P10" s="10"/>
      <c r="Q10" s="10"/>
      <c r="R10" s="10"/>
    </row>
    <row r="11" spans="1:21" x14ac:dyDescent="0.25">
      <c r="A11" s="10" t="s">
        <v>206</v>
      </c>
      <c r="B11" s="10" t="s">
        <v>164</v>
      </c>
      <c r="C11" s="10" t="s">
        <v>113</v>
      </c>
      <c r="D11" s="10" t="s">
        <v>83</v>
      </c>
      <c r="E11" s="10" t="s">
        <v>82</v>
      </c>
      <c r="F11" s="7" t="s">
        <v>173</v>
      </c>
      <c r="G11" s="10"/>
      <c r="H11" s="10" t="s">
        <v>83</v>
      </c>
      <c r="I11" s="10" t="e">
        <f t="shared" si="0"/>
        <v>#REF!</v>
      </c>
      <c r="J11" s="10" t="s">
        <v>83</v>
      </c>
      <c r="K11" s="10" t="s">
        <v>83</v>
      </c>
      <c r="L11" s="10" t="s">
        <v>111</v>
      </c>
      <c r="M11" s="10">
        <v>10</v>
      </c>
      <c r="N11" s="10" t="s">
        <v>205</v>
      </c>
      <c r="O11" s="10" t="s">
        <v>205</v>
      </c>
      <c r="P11" s="10"/>
      <c r="Q11" s="10"/>
      <c r="R11" s="10"/>
    </row>
    <row r="12" spans="1:21" x14ac:dyDescent="0.25">
      <c r="A12" s="10" t="s">
        <v>206</v>
      </c>
      <c r="B12" s="10" t="s">
        <v>164</v>
      </c>
      <c r="C12" s="10" t="s">
        <v>114</v>
      </c>
      <c r="D12" s="10" t="s">
        <v>83</v>
      </c>
      <c r="E12" s="10" t="s">
        <v>82</v>
      </c>
      <c r="F12" s="7" t="s">
        <v>174</v>
      </c>
      <c r="G12" s="10"/>
      <c r="H12" s="10" t="s">
        <v>83</v>
      </c>
      <c r="I12" s="10" t="e">
        <f t="shared" si="0"/>
        <v>#REF!</v>
      </c>
      <c r="J12" s="10" t="s">
        <v>83</v>
      </c>
      <c r="K12" s="10" t="s">
        <v>83</v>
      </c>
      <c r="L12" s="10" t="s">
        <v>103</v>
      </c>
      <c r="M12" s="10">
        <v>60</v>
      </c>
      <c r="N12" s="10" t="s">
        <v>205</v>
      </c>
      <c r="O12" s="10" t="s">
        <v>205</v>
      </c>
      <c r="P12" s="10"/>
      <c r="Q12" s="10"/>
      <c r="R12" s="10"/>
    </row>
    <row r="13" spans="1:21" x14ac:dyDescent="0.25">
      <c r="A13" s="10" t="s">
        <v>206</v>
      </c>
      <c r="B13" s="10" t="s">
        <v>164</v>
      </c>
      <c r="C13" s="10" t="s">
        <v>115</v>
      </c>
      <c r="D13" s="10" t="s">
        <v>83</v>
      </c>
      <c r="E13" s="10" t="s">
        <v>82</v>
      </c>
      <c r="F13" s="7" t="s">
        <v>175</v>
      </c>
      <c r="G13" s="10"/>
      <c r="H13" s="10" t="s">
        <v>83</v>
      </c>
      <c r="I13" s="10" t="e">
        <f t="shared" si="0"/>
        <v>#REF!</v>
      </c>
      <c r="J13" s="10" t="s">
        <v>83</v>
      </c>
      <c r="K13" s="10" t="s">
        <v>83</v>
      </c>
      <c r="L13" s="10" t="s">
        <v>103</v>
      </c>
      <c r="M13" s="10">
        <v>60</v>
      </c>
      <c r="N13" s="10" t="s">
        <v>205</v>
      </c>
      <c r="O13" s="10" t="s">
        <v>205</v>
      </c>
      <c r="P13" s="10"/>
      <c r="Q13" s="10"/>
      <c r="R13" s="10"/>
    </row>
    <row r="14" spans="1:21" x14ac:dyDescent="0.25">
      <c r="A14" s="10" t="s">
        <v>206</v>
      </c>
      <c r="B14" s="10" t="s">
        <v>164</v>
      </c>
      <c r="C14" s="10" t="s">
        <v>116</v>
      </c>
      <c r="D14" s="10" t="s">
        <v>83</v>
      </c>
      <c r="E14" s="10" t="s">
        <v>82</v>
      </c>
      <c r="F14" s="7" t="s">
        <v>176</v>
      </c>
      <c r="G14" s="10"/>
      <c r="H14" s="10" t="s">
        <v>83</v>
      </c>
      <c r="I14" s="10" t="e">
        <f>#REF!+1</f>
        <v>#REF!</v>
      </c>
      <c r="J14" s="10" t="s">
        <v>83</v>
      </c>
      <c r="K14" s="10" t="s">
        <v>83</v>
      </c>
      <c r="L14" s="10" t="s">
        <v>99</v>
      </c>
      <c r="M14" s="10">
        <v>2</v>
      </c>
      <c r="N14" s="10" t="s">
        <v>205</v>
      </c>
      <c r="O14" s="10" t="s">
        <v>205</v>
      </c>
      <c r="P14" s="10"/>
      <c r="Q14" s="10"/>
      <c r="R14" s="10"/>
    </row>
    <row r="15" spans="1:21" x14ac:dyDescent="0.25">
      <c r="A15" s="10" t="s">
        <v>206</v>
      </c>
      <c r="B15" s="10" t="s">
        <v>164</v>
      </c>
      <c r="C15" s="10" t="s">
        <v>117</v>
      </c>
      <c r="D15" s="10" t="s">
        <v>83</v>
      </c>
      <c r="E15" s="10" t="s">
        <v>82</v>
      </c>
      <c r="F15" s="7" t="s">
        <v>177</v>
      </c>
      <c r="G15" s="10"/>
      <c r="H15" s="10" t="s">
        <v>83</v>
      </c>
      <c r="I15" s="10" t="e">
        <f t="shared" si="0"/>
        <v>#REF!</v>
      </c>
      <c r="J15" s="10" t="s">
        <v>83</v>
      </c>
      <c r="K15" s="10" t="s">
        <v>83</v>
      </c>
      <c r="L15" s="10" t="s">
        <v>107</v>
      </c>
      <c r="M15" s="10">
        <v>5</v>
      </c>
      <c r="N15" s="10" t="s">
        <v>205</v>
      </c>
      <c r="O15" s="10" t="s">
        <v>205</v>
      </c>
      <c r="P15" s="10"/>
      <c r="Q15" s="10"/>
      <c r="R15" s="10"/>
    </row>
    <row r="16" spans="1:21" x14ac:dyDescent="0.25">
      <c r="A16" s="10" t="s">
        <v>206</v>
      </c>
      <c r="B16" s="10" t="s">
        <v>164</v>
      </c>
      <c r="C16" s="10" t="s">
        <v>119</v>
      </c>
      <c r="D16" s="10" t="s">
        <v>83</v>
      </c>
      <c r="E16" s="10" t="s">
        <v>82</v>
      </c>
      <c r="F16" s="7" t="s">
        <v>178</v>
      </c>
      <c r="G16" s="10"/>
      <c r="H16" s="10" t="s">
        <v>83</v>
      </c>
      <c r="I16" s="10" t="e">
        <f t="shared" si="0"/>
        <v>#REF!</v>
      </c>
      <c r="J16" s="10" t="s">
        <v>83</v>
      </c>
      <c r="K16" s="10" t="s">
        <v>83</v>
      </c>
      <c r="L16" s="10" t="s">
        <v>118</v>
      </c>
      <c r="M16" s="10" t="s">
        <v>162</v>
      </c>
      <c r="N16" s="10">
        <v>14</v>
      </c>
      <c r="O16" s="10" t="s">
        <v>205</v>
      </c>
      <c r="P16" s="10"/>
      <c r="Q16" s="10"/>
      <c r="R16" s="10"/>
    </row>
    <row r="17" spans="1:18" x14ac:dyDescent="0.25">
      <c r="A17" s="10" t="s">
        <v>206</v>
      </c>
      <c r="B17" s="10" t="s">
        <v>164</v>
      </c>
      <c r="C17" s="10" t="s">
        <v>121</v>
      </c>
      <c r="D17" s="10" t="s">
        <v>83</v>
      </c>
      <c r="E17" s="10" t="s">
        <v>82</v>
      </c>
      <c r="F17" s="7" t="s">
        <v>179</v>
      </c>
      <c r="G17" s="10"/>
      <c r="H17" s="10" t="s">
        <v>83</v>
      </c>
      <c r="I17" s="10" t="e">
        <f t="shared" si="0"/>
        <v>#REF!</v>
      </c>
      <c r="J17" s="10" t="s">
        <v>83</v>
      </c>
      <c r="K17" s="10" t="s">
        <v>83</v>
      </c>
      <c r="L17" s="10" t="s">
        <v>120</v>
      </c>
      <c r="M17" s="10" t="s">
        <v>163</v>
      </c>
      <c r="N17" s="10">
        <v>20</v>
      </c>
      <c r="O17" s="10" t="s">
        <v>205</v>
      </c>
      <c r="P17" s="10"/>
      <c r="Q17" s="10"/>
      <c r="R17" s="10"/>
    </row>
    <row r="18" spans="1:18" x14ac:dyDescent="0.25">
      <c r="A18" s="10" t="s">
        <v>206</v>
      </c>
      <c r="B18" s="10" t="s">
        <v>164</v>
      </c>
      <c r="C18" s="10" t="s">
        <v>122</v>
      </c>
      <c r="D18" s="10" t="s">
        <v>83</v>
      </c>
      <c r="E18" s="10" t="s">
        <v>82</v>
      </c>
      <c r="F18" s="7" t="s">
        <v>180</v>
      </c>
      <c r="G18" s="10"/>
      <c r="H18" s="10" t="s">
        <v>83</v>
      </c>
      <c r="I18" s="10" t="e">
        <f t="shared" si="0"/>
        <v>#REF!</v>
      </c>
      <c r="J18" s="10" t="s">
        <v>83</v>
      </c>
      <c r="K18" s="10" t="s">
        <v>83</v>
      </c>
      <c r="L18" s="10" t="s">
        <v>97</v>
      </c>
      <c r="M18" s="10" t="s">
        <v>205</v>
      </c>
      <c r="N18" s="10" t="s">
        <v>205</v>
      </c>
      <c r="O18" s="10" t="s">
        <v>205</v>
      </c>
      <c r="P18" s="10"/>
      <c r="Q18" s="10"/>
      <c r="R18" s="10"/>
    </row>
    <row r="19" spans="1:18" x14ac:dyDescent="0.25">
      <c r="A19" s="10" t="s">
        <v>206</v>
      </c>
      <c r="B19" s="10" t="s">
        <v>164</v>
      </c>
      <c r="C19" s="10" t="s">
        <v>124</v>
      </c>
      <c r="D19" s="10" t="s">
        <v>83</v>
      </c>
      <c r="E19" s="10" t="s">
        <v>82</v>
      </c>
      <c r="F19" s="7" t="s">
        <v>181</v>
      </c>
      <c r="G19" s="10"/>
      <c r="H19" s="10" t="s">
        <v>83</v>
      </c>
      <c r="I19" s="10" t="e">
        <f t="shared" si="0"/>
        <v>#REF!</v>
      </c>
      <c r="J19" s="10" t="s">
        <v>83</v>
      </c>
      <c r="K19" s="10" t="s">
        <v>83</v>
      </c>
      <c r="L19" s="10" t="s">
        <v>123</v>
      </c>
      <c r="M19" s="10">
        <v>4</v>
      </c>
      <c r="N19" s="10" t="s">
        <v>205</v>
      </c>
      <c r="O19" s="10" t="s">
        <v>205</v>
      </c>
      <c r="P19" s="10"/>
      <c r="Q19" s="10"/>
      <c r="R19" s="10"/>
    </row>
    <row r="20" spans="1:18" x14ac:dyDescent="0.25">
      <c r="A20" s="10" t="s">
        <v>206</v>
      </c>
      <c r="B20" s="10" t="s">
        <v>164</v>
      </c>
      <c r="C20" s="10" t="s">
        <v>125</v>
      </c>
      <c r="D20" s="10" t="s">
        <v>83</v>
      </c>
      <c r="E20" s="10" t="s">
        <v>82</v>
      </c>
      <c r="F20" s="7" t="s">
        <v>182</v>
      </c>
      <c r="G20" s="10"/>
      <c r="H20" s="10" t="s">
        <v>83</v>
      </c>
      <c r="I20" s="10" t="e">
        <f t="shared" si="0"/>
        <v>#REF!</v>
      </c>
      <c r="J20" s="10" t="s">
        <v>83</v>
      </c>
      <c r="K20" s="10" t="s">
        <v>83</v>
      </c>
      <c r="L20" s="10" t="s">
        <v>97</v>
      </c>
      <c r="M20" s="10" t="s">
        <v>205</v>
      </c>
      <c r="N20" s="10" t="s">
        <v>205</v>
      </c>
      <c r="O20" s="10" t="s">
        <v>205</v>
      </c>
      <c r="P20" s="10"/>
      <c r="Q20" s="10"/>
      <c r="R20" s="10"/>
    </row>
    <row r="21" spans="1:18" x14ac:dyDescent="0.25">
      <c r="A21" s="10" t="s">
        <v>206</v>
      </c>
      <c r="B21" s="10" t="s">
        <v>164</v>
      </c>
      <c r="C21" s="10" t="s">
        <v>127</v>
      </c>
      <c r="D21" s="10" t="s">
        <v>83</v>
      </c>
      <c r="E21" s="10" t="s">
        <v>82</v>
      </c>
      <c r="F21" s="7" t="s">
        <v>183</v>
      </c>
      <c r="G21" s="10"/>
      <c r="H21" s="10" t="s">
        <v>83</v>
      </c>
      <c r="I21" s="10" t="e">
        <f t="shared" si="0"/>
        <v>#REF!</v>
      </c>
      <c r="J21" s="10" t="s">
        <v>83</v>
      </c>
      <c r="K21" s="10" t="s">
        <v>83</v>
      </c>
      <c r="L21" s="10" t="s">
        <v>126</v>
      </c>
      <c r="M21" s="10">
        <v>20</v>
      </c>
      <c r="N21" s="10" t="s">
        <v>205</v>
      </c>
      <c r="O21" s="10" t="s">
        <v>205</v>
      </c>
      <c r="P21" s="10"/>
      <c r="Q21" s="10"/>
      <c r="R21" s="10"/>
    </row>
    <row r="22" spans="1:18" x14ac:dyDescent="0.25">
      <c r="A22" s="10" t="s">
        <v>206</v>
      </c>
      <c r="B22" s="10" t="s">
        <v>164</v>
      </c>
      <c r="C22" s="10" t="s">
        <v>129</v>
      </c>
      <c r="D22" s="10" t="s">
        <v>83</v>
      </c>
      <c r="E22" s="10" t="s">
        <v>82</v>
      </c>
      <c r="F22" s="7" t="s">
        <v>165</v>
      </c>
      <c r="G22" s="10"/>
      <c r="H22" s="10" t="s">
        <v>83</v>
      </c>
      <c r="I22" s="10" t="e">
        <f t="shared" si="0"/>
        <v>#REF!</v>
      </c>
      <c r="J22" s="10" t="s">
        <v>83</v>
      </c>
      <c r="K22" s="10" t="s">
        <v>83</v>
      </c>
      <c r="L22" s="10" t="s">
        <v>128</v>
      </c>
      <c r="M22" s="10">
        <v>98</v>
      </c>
      <c r="N22" s="10" t="s">
        <v>205</v>
      </c>
      <c r="O22" s="10" t="s">
        <v>205</v>
      </c>
      <c r="P22" s="10"/>
      <c r="Q22" s="10"/>
      <c r="R22" s="10"/>
    </row>
    <row r="23" spans="1:18" x14ac:dyDescent="0.25">
      <c r="A23" s="10" t="s">
        <v>206</v>
      </c>
      <c r="B23" s="10" t="s">
        <v>164</v>
      </c>
      <c r="C23" s="10" t="s">
        <v>131</v>
      </c>
      <c r="D23" s="10" t="s">
        <v>83</v>
      </c>
      <c r="E23" s="10" t="s">
        <v>82</v>
      </c>
      <c r="F23" s="7" t="s">
        <v>184</v>
      </c>
      <c r="G23" s="10"/>
      <c r="H23" s="10" t="s">
        <v>83</v>
      </c>
      <c r="I23" s="10" t="e">
        <f t="shared" si="0"/>
        <v>#REF!</v>
      </c>
      <c r="J23" s="10" t="s">
        <v>83</v>
      </c>
      <c r="K23" s="10" t="s">
        <v>83</v>
      </c>
      <c r="L23" s="10" t="s">
        <v>130</v>
      </c>
      <c r="M23" s="10">
        <v>32.299999999999997</v>
      </c>
      <c r="N23" s="10">
        <v>32</v>
      </c>
      <c r="O23" s="10" t="s">
        <v>205</v>
      </c>
      <c r="P23" s="10"/>
      <c r="Q23" s="10"/>
      <c r="R23" s="10"/>
    </row>
    <row r="24" spans="1:18" x14ac:dyDescent="0.25">
      <c r="A24" s="10" t="s">
        <v>206</v>
      </c>
      <c r="B24" s="10" t="s">
        <v>164</v>
      </c>
      <c r="C24" s="10" t="s">
        <v>133</v>
      </c>
      <c r="D24" s="10" t="s">
        <v>83</v>
      </c>
      <c r="E24" s="10" t="s">
        <v>82</v>
      </c>
      <c r="F24" s="7" t="s">
        <v>185</v>
      </c>
      <c r="G24" s="10"/>
      <c r="H24" s="10" t="s">
        <v>83</v>
      </c>
      <c r="I24" s="10" t="e">
        <f t="shared" si="0"/>
        <v>#REF!</v>
      </c>
      <c r="J24" s="10" t="s">
        <v>83</v>
      </c>
      <c r="K24" s="10" t="s">
        <v>83</v>
      </c>
      <c r="L24" s="10" t="s">
        <v>132</v>
      </c>
      <c r="M24" s="10">
        <v>14</v>
      </c>
      <c r="N24" s="10" t="s">
        <v>205</v>
      </c>
      <c r="O24" s="10" t="s">
        <v>205</v>
      </c>
      <c r="P24" s="10"/>
      <c r="Q24" s="10"/>
      <c r="R24" s="10"/>
    </row>
    <row r="25" spans="1:18" x14ac:dyDescent="0.25">
      <c r="A25" s="10" t="s">
        <v>206</v>
      </c>
      <c r="B25" s="10" t="s">
        <v>164</v>
      </c>
      <c r="C25" s="10" t="s">
        <v>135</v>
      </c>
      <c r="D25" s="10" t="s">
        <v>83</v>
      </c>
      <c r="E25" s="10" t="s">
        <v>82</v>
      </c>
      <c r="F25" s="7" t="s">
        <v>186</v>
      </c>
      <c r="G25" s="10"/>
      <c r="H25" s="10" t="s">
        <v>83</v>
      </c>
      <c r="I25" s="10" t="e">
        <f t="shared" si="0"/>
        <v>#REF!</v>
      </c>
      <c r="J25" s="10" t="s">
        <v>83</v>
      </c>
      <c r="K25" s="10" t="s">
        <v>83</v>
      </c>
      <c r="L25" s="10" t="s">
        <v>134</v>
      </c>
      <c r="M25" s="10">
        <v>3</v>
      </c>
      <c r="N25" s="10" t="s">
        <v>205</v>
      </c>
      <c r="O25" s="10" t="s">
        <v>205</v>
      </c>
      <c r="P25" s="10"/>
      <c r="Q25" s="10"/>
      <c r="R25" s="10"/>
    </row>
    <row r="26" spans="1:18" x14ac:dyDescent="0.25">
      <c r="A26" s="10" t="s">
        <v>206</v>
      </c>
      <c r="B26" s="10" t="s">
        <v>164</v>
      </c>
      <c r="C26" s="10" t="s">
        <v>137</v>
      </c>
      <c r="D26" s="10" t="s">
        <v>83</v>
      </c>
      <c r="E26" s="10" t="s">
        <v>82</v>
      </c>
      <c r="F26" s="7" t="s">
        <v>187</v>
      </c>
      <c r="G26" s="10"/>
      <c r="H26" s="10" t="s">
        <v>83</v>
      </c>
      <c r="I26" s="10" t="e">
        <f t="shared" si="0"/>
        <v>#REF!</v>
      </c>
      <c r="J26" s="10" t="s">
        <v>83</v>
      </c>
      <c r="K26" s="10" t="s">
        <v>83</v>
      </c>
      <c r="L26" s="10" t="s">
        <v>136</v>
      </c>
      <c r="M26" s="10">
        <v>12</v>
      </c>
      <c r="N26" s="10" t="s">
        <v>205</v>
      </c>
      <c r="O26" s="10" t="s">
        <v>205</v>
      </c>
      <c r="P26" s="10"/>
      <c r="Q26" s="10"/>
      <c r="R26" s="10"/>
    </row>
    <row r="27" spans="1:18" x14ac:dyDescent="0.25">
      <c r="A27" s="10" t="s">
        <v>206</v>
      </c>
      <c r="B27" s="10" t="s">
        <v>164</v>
      </c>
      <c r="C27" s="10" t="s">
        <v>139</v>
      </c>
      <c r="D27" s="10" t="s">
        <v>83</v>
      </c>
      <c r="E27" s="10" t="s">
        <v>82</v>
      </c>
      <c r="F27" s="7" t="s">
        <v>188</v>
      </c>
      <c r="G27" s="10"/>
      <c r="H27" s="10" t="s">
        <v>83</v>
      </c>
      <c r="I27" s="10" t="e">
        <f t="shared" si="0"/>
        <v>#REF!</v>
      </c>
      <c r="J27" s="10" t="s">
        <v>83</v>
      </c>
      <c r="K27" s="10" t="s">
        <v>83</v>
      </c>
      <c r="L27" s="10" t="s">
        <v>138</v>
      </c>
      <c r="M27" s="10">
        <v>140</v>
      </c>
      <c r="N27" s="10" t="s">
        <v>205</v>
      </c>
      <c r="O27" s="10" t="s">
        <v>205</v>
      </c>
      <c r="P27" s="10"/>
      <c r="Q27" s="10"/>
      <c r="R27" s="10"/>
    </row>
    <row r="28" spans="1:18" x14ac:dyDescent="0.25">
      <c r="A28" s="10" t="s">
        <v>206</v>
      </c>
      <c r="B28" s="10" t="s">
        <v>164</v>
      </c>
      <c r="C28" s="10" t="s">
        <v>140</v>
      </c>
      <c r="D28" s="10" t="s">
        <v>83</v>
      </c>
      <c r="E28" s="10" t="s">
        <v>82</v>
      </c>
      <c r="F28" s="7" t="s">
        <v>189</v>
      </c>
      <c r="G28" s="10"/>
      <c r="H28" s="10" t="s">
        <v>83</v>
      </c>
      <c r="I28" s="10" t="e">
        <f t="shared" si="0"/>
        <v>#REF!</v>
      </c>
      <c r="J28" s="10" t="s">
        <v>83</v>
      </c>
      <c r="K28" s="10" t="s">
        <v>83</v>
      </c>
      <c r="L28" s="10" t="s">
        <v>132</v>
      </c>
      <c r="M28" s="10">
        <v>14</v>
      </c>
      <c r="N28" s="10" t="s">
        <v>205</v>
      </c>
      <c r="O28" s="10" t="s">
        <v>205</v>
      </c>
      <c r="P28" s="10"/>
      <c r="Q28" s="10"/>
      <c r="R28" s="10"/>
    </row>
    <row r="29" spans="1:18" x14ac:dyDescent="0.25">
      <c r="A29" s="10" t="s">
        <v>206</v>
      </c>
      <c r="B29" s="10" t="s">
        <v>164</v>
      </c>
      <c r="C29" s="10" t="s">
        <v>141</v>
      </c>
      <c r="D29" s="10" t="s">
        <v>83</v>
      </c>
      <c r="E29" s="10" t="s">
        <v>82</v>
      </c>
      <c r="F29" s="7" t="s">
        <v>190</v>
      </c>
      <c r="G29" s="10"/>
      <c r="H29" s="10" t="s">
        <v>83</v>
      </c>
      <c r="I29" s="10" t="e">
        <f t="shared" si="0"/>
        <v>#REF!</v>
      </c>
      <c r="J29" s="10" t="s">
        <v>83</v>
      </c>
      <c r="K29" s="10" t="s">
        <v>83</v>
      </c>
      <c r="L29" s="10" t="s">
        <v>103</v>
      </c>
      <c r="M29" s="10">
        <v>60</v>
      </c>
      <c r="N29" s="10" t="s">
        <v>205</v>
      </c>
      <c r="O29" s="10" t="s">
        <v>205</v>
      </c>
      <c r="P29" s="10"/>
      <c r="Q29" s="10"/>
      <c r="R29" s="10"/>
    </row>
    <row r="30" spans="1:18" x14ac:dyDescent="0.25">
      <c r="A30" s="10" t="s">
        <v>206</v>
      </c>
      <c r="B30" s="10" t="s">
        <v>164</v>
      </c>
      <c r="C30" s="10" t="s">
        <v>143</v>
      </c>
      <c r="D30" s="10" t="s">
        <v>83</v>
      </c>
      <c r="E30" s="10" t="s">
        <v>82</v>
      </c>
      <c r="F30" s="7" t="s">
        <v>191</v>
      </c>
      <c r="G30" s="10"/>
      <c r="H30" s="10" t="s">
        <v>83</v>
      </c>
      <c r="I30" s="10" t="e">
        <f t="shared" si="0"/>
        <v>#REF!</v>
      </c>
      <c r="J30" s="10" t="s">
        <v>83</v>
      </c>
      <c r="K30" s="10" t="s">
        <v>83</v>
      </c>
      <c r="L30" s="10" t="s">
        <v>142</v>
      </c>
      <c r="M30" s="10">
        <v>42</v>
      </c>
      <c r="N30" s="10" t="s">
        <v>205</v>
      </c>
      <c r="O30" s="10" t="s">
        <v>205</v>
      </c>
      <c r="P30" s="10"/>
      <c r="Q30" s="10"/>
      <c r="R30" s="10"/>
    </row>
    <row r="31" spans="1:18" x14ac:dyDescent="0.25">
      <c r="A31" s="10" t="s">
        <v>206</v>
      </c>
      <c r="B31" s="10" t="s">
        <v>164</v>
      </c>
      <c r="C31" s="10" t="s">
        <v>144</v>
      </c>
      <c r="D31" s="10" t="s">
        <v>83</v>
      </c>
      <c r="E31" s="10" t="s">
        <v>82</v>
      </c>
      <c r="F31" s="7" t="s">
        <v>192</v>
      </c>
      <c r="G31" s="10"/>
      <c r="H31" s="10" t="s">
        <v>83</v>
      </c>
      <c r="I31" s="10" t="e">
        <f t="shared" si="0"/>
        <v>#REF!</v>
      </c>
      <c r="J31" s="10" t="s">
        <v>83</v>
      </c>
      <c r="K31" s="10" t="s">
        <v>83</v>
      </c>
      <c r="L31" s="10" t="s">
        <v>99</v>
      </c>
      <c r="M31" s="10">
        <v>2</v>
      </c>
      <c r="N31" s="10" t="s">
        <v>205</v>
      </c>
      <c r="O31" s="10" t="s">
        <v>205</v>
      </c>
      <c r="P31" s="10"/>
      <c r="Q31" s="10"/>
      <c r="R31" s="10"/>
    </row>
    <row r="32" spans="1:18" x14ac:dyDescent="0.25">
      <c r="A32" s="10" t="s">
        <v>206</v>
      </c>
      <c r="B32" s="10" t="s">
        <v>164</v>
      </c>
      <c r="C32" s="10" t="s">
        <v>146</v>
      </c>
      <c r="D32" s="10" t="s">
        <v>83</v>
      </c>
      <c r="E32" s="10" t="s">
        <v>82</v>
      </c>
      <c r="F32" s="7" t="s">
        <v>193</v>
      </c>
      <c r="G32" s="10"/>
      <c r="H32" s="10" t="s">
        <v>83</v>
      </c>
      <c r="I32" s="10" t="e">
        <f t="shared" si="0"/>
        <v>#REF!</v>
      </c>
      <c r="J32" s="10" t="s">
        <v>83</v>
      </c>
      <c r="K32" s="10" t="s">
        <v>83</v>
      </c>
      <c r="L32" s="10" t="s">
        <v>145</v>
      </c>
      <c r="M32" s="10">
        <v>80</v>
      </c>
      <c r="N32" s="10" t="s">
        <v>205</v>
      </c>
      <c r="O32" s="10" t="s">
        <v>205</v>
      </c>
      <c r="P32" s="10"/>
      <c r="Q32" s="10"/>
      <c r="R32" s="10"/>
    </row>
    <row r="33" spans="1:18" x14ac:dyDescent="0.25">
      <c r="A33" s="10" t="s">
        <v>206</v>
      </c>
      <c r="B33" s="10" t="s">
        <v>164</v>
      </c>
      <c r="C33" s="10" t="s">
        <v>148</v>
      </c>
      <c r="D33" s="10" t="s">
        <v>83</v>
      </c>
      <c r="E33" s="10" t="s">
        <v>82</v>
      </c>
      <c r="F33" s="7" t="s">
        <v>194</v>
      </c>
      <c r="G33" s="10"/>
      <c r="H33" s="10" t="s">
        <v>83</v>
      </c>
      <c r="I33" s="10" t="e">
        <f t="shared" si="0"/>
        <v>#REF!</v>
      </c>
      <c r="J33" s="10" t="s">
        <v>83</v>
      </c>
      <c r="K33" s="10" t="s">
        <v>83</v>
      </c>
      <c r="L33" s="10" t="s">
        <v>147</v>
      </c>
      <c r="M33" s="10">
        <v>2</v>
      </c>
      <c r="N33" s="10" t="s">
        <v>205</v>
      </c>
      <c r="O33" s="10" t="s">
        <v>205</v>
      </c>
      <c r="P33" s="10"/>
      <c r="Q33" s="10"/>
      <c r="R33" s="10"/>
    </row>
    <row r="34" spans="1:18" x14ac:dyDescent="0.25">
      <c r="A34" s="10" t="s">
        <v>206</v>
      </c>
      <c r="B34" s="10" t="s">
        <v>164</v>
      </c>
      <c r="C34" s="10" t="s">
        <v>150</v>
      </c>
      <c r="D34" s="10" t="s">
        <v>83</v>
      </c>
      <c r="E34" s="10" t="s">
        <v>82</v>
      </c>
      <c r="F34" s="7" t="s">
        <v>195</v>
      </c>
      <c r="G34" s="10"/>
      <c r="H34" s="10" t="s">
        <v>83</v>
      </c>
      <c r="I34" s="10" t="e">
        <f t="shared" si="0"/>
        <v>#REF!</v>
      </c>
      <c r="J34" s="10" t="s">
        <v>83</v>
      </c>
      <c r="K34" s="10" t="s">
        <v>83</v>
      </c>
      <c r="L34" s="10" t="s">
        <v>149</v>
      </c>
      <c r="M34" s="10">
        <v>22</v>
      </c>
      <c r="N34" s="10" t="s">
        <v>205</v>
      </c>
      <c r="O34" s="10" t="s">
        <v>205</v>
      </c>
      <c r="P34" s="10"/>
      <c r="Q34" s="10"/>
      <c r="R34" s="10"/>
    </row>
    <row r="35" spans="1:18" x14ac:dyDescent="0.25">
      <c r="A35" s="10" t="s">
        <v>206</v>
      </c>
      <c r="B35" s="10" t="s">
        <v>164</v>
      </c>
      <c r="C35" s="10" t="s">
        <v>152</v>
      </c>
      <c r="D35" s="10" t="s">
        <v>83</v>
      </c>
      <c r="E35" s="10" t="s">
        <v>82</v>
      </c>
      <c r="F35" s="7" t="s">
        <v>196</v>
      </c>
      <c r="G35" s="10"/>
      <c r="H35" s="10" t="s">
        <v>83</v>
      </c>
      <c r="I35" s="10" t="e">
        <f t="shared" si="0"/>
        <v>#REF!</v>
      </c>
      <c r="J35" s="10" t="s">
        <v>83</v>
      </c>
      <c r="K35" s="10" t="s">
        <v>83</v>
      </c>
      <c r="L35" s="10" t="s">
        <v>151</v>
      </c>
      <c r="M35" s="10">
        <v>12</v>
      </c>
      <c r="N35" s="10" t="s">
        <v>205</v>
      </c>
      <c r="O35" s="10" t="s">
        <v>205</v>
      </c>
      <c r="P35" s="10"/>
      <c r="Q35" s="10"/>
      <c r="R35" s="10"/>
    </row>
    <row r="36" spans="1:18" x14ac:dyDescent="0.25">
      <c r="A36" s="10" t="s">
        <v>206</v>
      </c>
      <c r="B36" s="10" t="s">
        <v>164</v>
      </c>
      <c r="C36" s="10" t="s">
        <v>153</v>
      </c>
      <c r="D36" s="10" t="s">
        <v>83</v>
      </c>
      <c r="E36" s="10" t="s">
        <v>82</v>
      </c>
      <c r="F36" s="7" t="s">
        <v>197</v>
      </c>
      <c r="G36" s="10"/>
      <c r="H36" s="10" t="s">
        <v>83</v>
      </c>
      <c r="I36" s="10" t="e">
        <f t="shared" si="0"/>
        <v>#REF!</v>
      </c>
      <c r="J36" s="10" t="s">
        <v>83</v>
      </c>
      <c r="K36" s="10" t="s">
        <v>83</v>
      </c>
      <c r="L36" s="10" t="s">
        <v>97</v>
      </c>
      <c r="M36" s="10" t="s">
        <v>205</v>
      </c>
      <c r="N36" s="10" t="s">
        <v>205</v>
      </c>
      <c r="O36" s="10" t="s">
        <v>205</v>
      </c>
      <c r="P36" s="10"/>
      <c r="Q36" s="10"/>
      <c r="R36" s="10"/>
    </row>
    <row r="37" spans="1:18" x14ac:dyDescent="0.25">
      <c r="A37" s="10" t="s">
        <v>206</v>
      </c>
      <c r="B37" s="10" t="s">
        <v>164</v>
      </c>
      <c r="C37" s="10" t="s">
        <v>154</v>
      </c>
      <c r="D37" s="10" t="s">
        <v>83</v>
      </c>
      <c r="E37" s="10" t="s">
        <v>82</v>
      </c>
      <c r="F37" s="7" t="s">
        <v>198</v>
      </c>
      <c r="G37" s="10"/>
      <c r="H37" s="10" t="s">
        <v>83</v>
      </c>
      <c r="I37" s="10" t="e">
        <f t="shared" si="0"/>
        <v>#REF!</v>
      </c>
      <c r="J37" s="10" t="s">
        <v>83</v>
      </c>
      <c r="K37" s="10" t="s">
        <v>83</v>
      </c>
      <c r="L37" s="10" t="s">
        <v>97</v>
      </c>
      <c r="M37" s="10" t="s">
        <v>205</v>
      </c>
      <c r="N37" s="10" t="s">
        <v>205</v>
      </c>
      <c r="O37" s="10" t="s">
        <v>205</v>
      </c>
      <c r="P37" s="10"/>
      <c r="Q37" s="10"/>
      <c r="R37" s="10"/>
    </row>
    <row r="38" spans="1:18" x14ac:dyDescent="0.25">
      <c r="A38" s="10" t="s">
        <v>206</v>
      </c>
      <c r="B38" s="10" t="s">
        <v>164</v>
      </c>
      <c r="C38" s="10" t="s">
        <v>155</v>
      </c>
      <c r="D38" s="10" t="s">
        <v>83</v>
      </c>
      <c r="E38" s="10" t="s">
        <v>82</v>
      </c>
      <c r="F38" s="7" t="s">
        <v>199</v>
      </c>
      <c r="G38" s="10"/>
      <c r="H38" s="10" t="s">
        <v>83</v>
      </c>
      <c r="I38" s="10" t="e">
        <f t="shared" si="0"/>
        <v>#REF!</v>
      </c>
      <c r="J38" s="10" t="s">
        <v>83</v>
      </c>
      <c r="K38" s="10" t="s">
        <v>83</v>
      </c>
      <c r="L38" s="10" t="s">
        <v>147</v>
      </c>
      <c r="M38" s="10">
        <v>2</v>
      </c>
      <c r="N38" s="10" t="s">
        <v>205</v>
      </c>
      <c r="O38" s="10" t="s">
        <v>205</v>
      </c>
      <c r="P38" s="10"/>
      <c r="Q38" s="10"/>
      <c r="R38" s="10"/>
    </row>
    <row r="39" spans="1:18" x14ac:dyDescent="0.25">
      <c r="A39" s="10" t="s">
        <v>206</v>
      </c>
      <c r="B39" s="10" t="s">
        <v>164</v>
      </c>
      <c r="C39" s="10" t="s">
        <v>156</v>
      </c>
      <c r="D39" s="10" t="s">
        <v>83</v>
      </c>
      <c r="E39" s="10" t="s">
        <v>82</v>
      </c>
      <c r="F39" s="7" t="s">
        <v>200</v>
      </c>
      <c r="G39" s="10"/>
      <c r="H39" s="10" t="s">
        <v>83</v>
      </c>
      <c r="I39" s="10" t="e">
        <f t="shared" si="0"/>
        <v>#REF!</v>
      </c>
      <c r="J39" s="10" t="s">
        <v>83</v>
      </c>
      <c r="K39" s="10" t="s">
        <v>83</v>
      </c>
      <c r="L39" s="10" t="s">
        <v>147</v>
      </c>
      <c r="M39" s="10">
        <v>2</v>
      </c>
      <c r="N39" s="10" t="s">
        <v>205</v>
      </c>
      <c r="O39" s="10" t="s">
        <v>205</v>
      </c>
      <c r="P39" s="10"/>
      <c r="Q39" s="10"/>
      <c r="R39" s="10"/>
    </row>
    <row r="40" spans="1:18" x14ac:dyDescent="0.25">
      <c r="A40" s="10" t="s">
        <v>206</v>
      </c>
      <c r="B40" s="10" t="s">
        <v>164</v>
      </c>
      <c r="C40" s="10" t="s">
        <v>158</v>
      </c>
      <c r="D40" s="10" t="s">
        <v>83</v>
      </c>
      <c r="E40" s="10" t="s">
        <v>82</v>
      </c>
      <c r="F40" s="7" t="s">
        <v>201</v>
      </c>
      <c r="G40" s="10"/>
      <c r="H40" s="10" t="s">
        <v>83</v>
      </c>
      <c r="I40" s="10" t="e">
        <f t="shared" si="0"/>
        <v>#REF!</v>
      </c>
      <c r="J40" s="10" t="s">
        <v>83</v>
      </c>
      <c r="K40" s="10" t="s">
        <v>83</v>
      </c>
      <c r="L40" s="10" t="s">
        <v>157</v>
      </c>
      <c r="M40" s="10">
        <v>6</v>
      </c>
      <c r="N40" s="10" t="s">
        <v>205</v>
      </c>
      <c r="O40" s="10" t="s">
        <v>205</v>
      </c>
      <c r="P40" s="10"/>
      <c r="Q40" s="10"/>
      <c r="R40" s="10"/>
    </row>
    <row r="41" spans="1:18" x14ac:dyDescent="0.25">
      <c r="A41" s="10" t="s">
        <v>206</v>
      </c>
      <c r="B41" s="10" t="s">
        <v>164</v>
      </c>
      <c r="C41" s="10" t="s">
        <v>159</v>
      </c>
      <c r="D41" s="10" t="s">
        <v>83</v>
      </c>
      <c r="E41" s="10" t="s">
        <v>82</v>
      </c>
      <c r="F41" s="7" t="s">
        <v>202</v>
      </c>
      <c r="G41" s="10"/>
      <c r="H41" s="10" t="s">
        <v>83</v>
      </c>
      <c r="I41" s="10" t="e">
        <f t="shared" si="0"/>
        <v>#REF!</v>
      </c>
      <c r="J41" s="10" t="s">
        <v>83</v>
      </c>
      <c r="K41" s="10" t="s">
        <v>83</v>
      </c>
      <c r="L41" s="10" t="s">
        <v>132</v>
      </c>
      <c r="M41" s="10">
        <v>14</v>
      </c>
      <c r="N41" s="10" t="s">
        <v>205</v>
      </c>
      <c r="O41" s="10"/>
      <c r="P41" s="10"/>
      <c r="Q41" s="10"/>
      <c r="R41" s="10"/>
    </row>
    <row r="42" spans="1:18" x14ac:dyDescent="0.25">
      <c r="A42" s="10" t="s">
        <v>206</v>
      </c>
      <c r="B42" s="10" t="s">
        <v>164</v>
      </c>
      <c r="C42" s="10" t="s">
        <v>160</v>
      </c>
      <c r="D42" s="10" t="s">
        <v>83</v>
      </c>
      <c r="E42" s="10" t="s">
        <v>82</v>
      </c>
      <c r="F42" s="7" t="s">
        <v>203</v>
      </c>
      <c r="G42" s="10"/>
      <c r="H42" s="10" t="s">
        <v>83</v>
      </c>
      <c r="I42" s="10" t="e">
        <f t="shared" si="0"/>
        <v>#REF!</v>
      </c>
      <c r="J42" s="10" t="s">
        <v>83</v>
      </c>
      <c r="K42" s="10" t="s">
        <v>83</v>
      </c>
      <c r="L42" s="10" t="s">
        <v>147</v>
      </c>
      <c r="M42" s="10">
        <v>2</v>
      </c>
      <c r="N42" s="10" t="s">
        <v>205</v>
      </c>
      <c r="O42" s="10"/>
      <c r="P42" s="10"/>
      <c r="Q42" s="10"/>
      <c r="R42" s="10"/>
    </row>
    <row r="43" spans="1:18" x14ac:dyDescent="0.25">
      <c r="A43" s="10" t="s">
        <v>206</v>
      </c>
      <c r="B43" s="10" t="s">
        <v>164</v>
      </c>
      <c r="C43" s="10" t="s">
        <v>161</v>
      </c>
      <c r="D43" s="10" t="s">
        <v>83</v>
      </c>
      <c r="E43" s="10" t="s">
        <v>82</v>
      </c>
      <c r="F43" s="7" t="s">
        <v>204</v>
      </c>
      <c r="G43" s="10"/>
      <c r="H43" s="10" t="s">
        <v>83</v>
      </c>
      <c r="I43" s="10" t="e">
        <f t="shared" si="0"/>
        <v>#REF!</v>
      </c>
      <c r="J43" s="10" t="s">
        <v>83</v>
      </c>
      <c r="K43" s="10" t="s">
        <v>83</v>
      </c>
      <c r="L43" s="10" t="s">
        <v>123</v>
      </c>
      <c r="M43" s="10">
        <v>4</v>
      </c>
      <c r="N43" s="10" t="s">
        <v>205</v>
      </c>
      <c r="O43" s="10"/>
      <c r="P43" s="10"/>
      <c r="Q43" s="10"/>
      <c r="R43" s="10"/>
    </row>
  </sheetData>
  <autoFilter ref="A1:U43" xr:uid="{ED9F2341-D34A-429B-BD13-80B27B5B42F7}">
    <filterColumn colId="15" showButton="0"/>
    <filterColumn colId="16" showButton="0"/>
    <filterColumn colId="18" showButton="0"/>
    <filterColumn colId="19" showButton="0"/>
  </autoFilter>
  <mergeCells count="2">
    <mergeCell ref="P1:R1"/>
    <mergeCell ref="S1:U1"/>
  </mergeCells>
  <pageMargins left="0.7" right="0.7" top="0.75" bottom="0.75" header="0.3" footer="0.3"/>
  <pageSetup orientation="portrait" horizontalDpi="4294967292"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D976-D043-48CC-ADBD-744D5BF5F829}">
  <dimension ref="A1:I1"/>
  <sheetViews>
    <sheetView zoomScale="57" workbookViewId="0">
      <pane ySplit="1" topLeftCell="A2" activePane="bottomLeft" state="frozen"/>
      <selection pane="bottomLeft" activeCell="D18" sqref="D18"/>
    </sheetView>
  </sheetViews>
  <sheetFormatPr defaultColWidth="12.28515625" defaultRowHeight="15" x14ac:dyDescent="0.25"/>
  <cols>
    <col min="1" max="1" width="7.140625" bestFit="1" customWidth="1"/>
    <col min="2" max="2" width="16.7109375" bestFit="1" customWidth="1"/>
    <col min="3" max="3" width="19.85546875" bestFit="1" customWidth="1"/>
    <col min="4" max="4" width="19.85546875" customWidth="1"/>
    <col min="5" max="5" width="19.85546875" bestFit="1" customWidth="1"/>
    <col min="6" max="6" width="19.85546875" customWidth="1"/>
    <col min="7" max="7" width="9.28515625" bestFit="1" customWidth="1"/>
    <col min="8" max="9" width="26" bestFit="1" customWidth="1"/>
  </cols>
  <sheetData>
    <row r="1" spans="1:9" x14ac:dyDescent="0.25">
      <c r="A1" s="3" t="s">
        <v>84</v>
      </c>
      <c r="B1" s="3" t="s">
        <v>85</v>
      </c>
      <c r="C1" s="3" t="s">
        <v>86</v>
      </c>
      <c r="D1" s="3" t="s">
        <v>90</v>
      </c>
      <c r="E1" s="3" t="s">
        <v>91</v>
      </c>
      <c r="F1" s="3" t="s">
        <v>92</v>
      </c>
      <c r="G1" s="3" t="s">
        <v>87</v>
      </c>
      <c r="H1" s="3" t="s">
        <v>0</v>
      </c>
      <c r="I1" s="3" t="s">
        <v>88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EFEA-0C10-4B3E-A3EF-2DE6E49B44EF}">
  <dimension ref="A1:E19"/>
  <sheetViews>
    <sheetView zoomScale="83" workbookViewId="0">
      <selection activeCell="A17" sqref="A1:E19"/>
    </sheetView>
  </sheetViews>
  <sheetFormatPr defaultRowHeight="15" x14ac:dyDescent="0.25"/>
  <cols>
    <col min="1" max="1" width="7.42578125" bestFit="1" customWidth="1"/>
    <col min="2" max="2" width="103" bestFit="1" customWidth="1"/>
    <col min="3" max="3" width="70.5703125" bestFit="1" customWidth="1"/>
    <col min="4" max="4" width="9.28515625" bestFit="1" customWidth="1"/>
    <col min="5" max="5" width="13.140625" bestFit="1" customWidth="1"/>
  </cols>
  <sheetData>
    <row r="1" spans="1:5" x14ac:dyDescent="0.25">
      <c r="A1" s="11" t="s">
        <v>1</v>
      </c>
      <c r="B1" s="11" t="s">
        <v>2</v>
      </c>
      <c r="C1" s="11" t="s">
        <v>3</v>
      </c>
      <c r="D1" s="11" t="s">
        <v>4</v>
      </c>
      <c r="E1" s="11" t="s">
        <v>5</v>
      </c>
    </row>
    <row r="2" spans="1:5" x14ac:dyDescent="0.25">
      <c r="A2" s="12" t="s">
        <v>6</v>
      </c>
      <c r="B2" s="2" t="s">
        <v>7</v>
      </c>
      <c r="C2" s="2" t="s">
        <v>8</v>
      </c>
      <c r="D2" s="12" t="s">
        <v>9</v>
      </c>
      <c r="E2" s="12" t="s">
        <v>10</v>
      </c>
    </row>
    <row r="3" spans="1:5" x14ac:dyDescent="0.25">
      <c r="A3" s="12" t="s">
        <v>11</v>
      </c>
      <c r="B3" s="2" t="s">
        <v>12</v>
      </c>
      <c r="C3" s="2" t="s">
        <v>13</v>
      </c>
      <c r="D3" s="12" t="s">
        <v>14</v>
      </c>
      <c r="E3" s="1"/>
    </row>
    <row r="4" spans="1:5" x14ac:dyDescent="0.25">
      <c r="A4" s="12" t="s">
        <v>15</v>
      </c>
      <c r="B4" s="2" t="s">
        <v>16</v>
      </c>
      <c r="C4" s="12"/>
      <c r="D4" s="12" t="s">
        <v>9</v>
      </c>
      <c r="E4" s="12" t="s">
        <v>14</v>
      </c>
    </row>
    <row r="5" spans="1:5" x14ac:dyDescent="0.25">
      <c r="A5" s="12" t="s">
        <v>17</v>
      </c>
      <c r="B5" s="2" t="s">
        <v>18</v>
      </c>
      <c r="C5" s="2" t="s">
        <v>19</v>
      </c>
      <c r="D5" s="12" t="s">
        <v>9</v>
      </c>
      <c r="E5" s="12" t="s">
        <v>10</v>
      </c>
    </row>
    <row r="6" spans="1:5" x14ac:dyDescent="0.25">
      <c r="A6" s="12" t="s">
        <v>20</v>
      </c>
      <c r="B6" s="2" t="s">
        <v>21</v>
      </c>
      <c r="C6" s="2" t="s">
        <v>22</v>
      </c>
      <c r="D6" s="12" t="s">
        <v>9</v>
      </c>
      <c r="E6" s="12" t="s">
        <v>10</v>
      </c>
    </row>
    <row r="7" spans="1:5" x14ac:dyDescent="0.25">
      <c r="A7" s="12" t="s">
        <v>58</v>
      </c>
      <c r="B7" s="2" t="s">
        <v>23</v>
      </c>
      <c r="C7" s="2" t="s">
        <v>24</v>
      </c>
      <c r="D7" s="12" t="s">
        <v>9</v>
      </c>
      <c r="E7" s="12" t="s">
        <v>14</v>
      </c>
    </row>
    <row r="8" spans="1:5" x14ac:dyDescent="0.25">
      <c r="A8" s="12" t="s">
        <v>25</v>
      </c>
      <c r="B8" s="2" t="s">
        <v>26</v>
      </c>
      <c r="C8" s="2" t="s">
        <v>27</v>
      </c>
      <c r="D8" s="12" t="s">
        <v>28</v>
      </c>
      <c r="E8" s="12" t="s">
        <v>10</v>
      </c>
    </row>
    <row r="9" spans="1:5" x14ac:dyDescent="0.25">
      <c r="A9" s="12" t="s">
        <v>59</v>
      </c>
      <c r="B9" s="2" t="s">
        <v>29</v>
      </c>
      <c r="C9" s="2" t="s">
        <v>30</v>
      </c>
      <c r="D9" s="12" t="s">
        <v>31</v>
      </c>
      <c r="E9" s="12" t="s">
        <v>10</v>
      </c>
    </row>
    <row r="10" spans="1:5" x14ac:dyDescent="0.25">
      <c r="A10" s="12" t="s">
        <v>32</v>
      </c>
      <c r="B10" s="2" t="s">
        <v>33</v>
      </c>
      <c r="C10" s="2" t="s">
        <v>34</v>
      </c>
      <c r="D10" s="12" t="s">
        <v>28</v>
      </c>
      <c r="E10" s="12" t="s">
        <v>14</v>
      </c>
    </row>
    <row r="11" spans="1:5" x14ac:dyDescent="0.25">
      <c r="A11" s="12" t="s">
        <v>35</v>
      </c>
      <c r="B11" s="2" t="s">
        <v>36</v>
      </c>
      <c r="C11" s="2" t="s">
        <v>37</v>
      </c>
      <c r="D11" s="12" t="s">
        <v>28</v>
      </c>
      <c r="E11" s="12" t="s">
        <v>14</v>
      </c>
    </row>
    <row r="12" spans="1:5" x14ac:dyDescent="0.25">
      <c r="A12" s="12" t="s">
        <v>38</v>
      </c>
      <c r="B12" s="2" t="s">
        <v>39</v>
      </c>
      <c r="C12" s="12"/>
      <c r="D12" s="12" t="s">
        <v>9</v>
      </c>
      <c r="E12" s="12" t="s">
        <v>40</v>
      </c>
    </row>
    <row r="13" spans="1:5" x14ac:dyDescent="0.25">
      <c r="A13" s="12" t="s">
        <v>41</v>
      </c>
      <c r="B13" s="2" t="s">
        <v>42</v>
      </c>
      <c r="C13" s="12"/>
      <c r="D13" s="12" t="s">
        <v>9</v>
      </c>
      <c r="E13" s="12" t="s">
        <v>14</v>
      </c>
    </row>
    <row r="14" spans="1:5" x14ac:dyDescent="0.25">
      <c r="A14" s="12" t="s">
        <v>43</v>
      </c>
      <c r="B14" s="2" t="s">
        <v>44</v>
      </c>
      <c r="C14" s="2" t="s">
        <v>45</v>
      </c>
      <c r="D14" s="12" t="s">
        <v>28</v>
      </c>
      <c r="E14" s="12" t="s">
        <v>14</v>
      </c>
    </row>
    <row r="15" spans="1:5" x14ac:dyDescent="0.25">
      <c r="A15" s="12" t="s">
        <v>46</v>
      </c>
      <c r="B15" s="2" t="s">
        <v>47</v>
      </c>
      <c r="C15" s="2" t="s">
        <v>48</v>
      </c>
      <c r="D15" s="12" t="s">
        <v>28</v>
      </c>
      <c r="E15" s="12" t="s">
        <v>10</v>
      </c>
    </row>
    <row r="16" spans="1:5" x14ac:dyDescent="0.25">
      <c r="A16" s="12" t="s">
        <v>49</v>
      </c>
      <c r="B16" s="2" t="s">
        <v>50</v>
      </c>
      <c r="C16" s="12" t="s">
        <v>28</v>
      </c>
      <c r="D16" s="12" t="s">
        <v>14</v>
      </c>
      <c r="E16" s="1"/>
    </row>
    <row r="17" spans="1:5" x14ac:dyDescent="0.25">
      <c r="A17" s="12" t="s">
        <v>51</v>
      </c>
      <c r="B17" s="2" t="s">
        <v>52</v>
      </c>
      <c r="C17" s="12" t="s">
        <v>53</v>
      </c>
      <c r="D17" s="12" t="s">
        <v>14</v>
      </c>
      <c r="E17" s="1"/>
    </row>
    <row r="18" spans="1:5" x14ac:dyDescent="0.25">
      <c r="A18" s="12" t="s">
        <v>60</v>
      </c>
      <c r="B18" s="2" t="s">
        <v>54</v>
      </c>
      <c r="C18" s="2" t="s">
        <v>55</v>
      </c>
      <c r="D18" s="12" t="s">
        <v>28</v>
      </c>
      <c r="E18" s="12" t="s">
        <v>10</v>
      </c>
    </row>
    <row r="19" spans="1:5" x14ac:dyDescent="0.25">
      <c r="A19" s="12" t="s">
        <v>61</v>
      </c>
      <c r="B19" s="2" t="s">
        <v>56</v>
      </c>
      <c r="C19" s="2" t="s">
        <v>57</v>
      </c>
      <c r="D19" s="12" t="s">
        <v>53</v>
      </c>
      <c r="E19" s="1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List</vt:lpstr>
      <vt:lpstr>KDE sheet.</vt:lpstr>
      <vt:lpstr>Data Transformation for ETL</vt:lpstr>
      <vt:lpstr>Data Quality rule for ETL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Enkhmend Ganbaatar</dc:creator>
  <cp:lastModifiedBy>Munkhnasan Otgonbold</cp:lastModifiedBy>
  <dcterms:created xsi:type="dcterms:W3CDTF">2025-01-21T02:38:35Z</dcterms:created>
  <dcterms:modified xsi:type="dcterms:W3CDTF">2026-03-26T02:56:03Z</dcterms:modified>
</cp:coreProperties>
</file>